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RCS-AGV系统" sheetId="25" r:id="rId1"/>
    <sheet name="AGV小车运行状态" sheetId="21" r:id="rId2"/>
    <sheet name="AGV小车停止信息1" sheetId="22" r:id="rId3"/>
    <sheet name="AGV小车停止信息2" sheetId="2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<sst xmlns="http://schemas.openxmlformats.org/spreadsheetml/2006/main" count="390" uniqueCount="329">
  <si>
    <t>AGV系统数据清单</t>
  </si>
  <si>
    <t>地址</t>
  </si>
  <si>
    <t>TCP</t>
  </si>
  <si>
    <t>备注</t>
  </si>
  <si>
    <t>(Client)IP地址</t>
  </si>
  <si>
    <t>（Server）IP地址</t>
  </si>
  <si>
    <t>端口</t>
  </si>
  <si>
    <t>Byte0</t>
  </si>
  <si>
    <t>头部报文</t>
  </si>
  <si>
    <t>16#4A</t>
  </si>
  <si>
    <t>车辆IP</t>
  </si>
  <si>
    <t>192.168.100.160（可修改）</t>
  </si>
  <si>
    <t>定时2秒循环发送</t>
  </si>
  <si>
    <t>Byte1</t>
  </si>
  <si>
    <t>16#54</t>
  </si>
  <si>
    <t>端口及更新频率可定义</t>
  </si>
  <si>
    <t>Byte2</t>
  </si>
  <si>
    <t>16#03</t>
  </si>
  <si>
    <t>Byte3</t>
  </si>
  <si>
    <t>16#29</t>
  </si>
  <si>
    <t>Byte4</t>
  </si>
  <si>
    <t>小车ID</t>
  </si>
  <si>
    <t>Byte5</t>
  </si>
  <si>
    <t>Byte6</t>
  </si>
  <si>
    <t>AGV当前X轴坐标</t>
  </si>
  <si>
    <t>Byte7</t>
  </si>
  <si>
    <t>Byte8</t>
  </si>
  <si>
    <t>Byte9</t>
  </si>
  <si>
    <t>Byte10</t>
  </si>
  <si>
    <t>AGV小车当前Y轴坐标</t>
  </si>
  <si>
    <t>Byte11</t>
  </si>
  <si>
    <t>Byte12</t>
  </si>
  <si>
    <t>Byte13</t>
  </si>
  <si>
    <t>Byte14</t>
  </si>
  <si>
    <t>AGV小车当前角度值</t>
  </si>
  <si>
    <t>Byte15</t>
  </si>
  <si>
    <t>Byte16</t>
  </si>
  <si>
    <t>AGV小车当前电量</t>
  </si>
  <si>
    <t>Byte17</t>
  </si>
  <si>
    <t>Byte18</t>
  </si>
  <si>
    <t>AGV小车货叉高度</t>
  </si>
  <si>
    <t>Byte19</t>
  </si>
  <si>
    <t>Byte20</t>
  </si>
  <si>
    <t>AGV小车行驶速度</t>
  </si>
  <si>
    <t>Byte21</t>
  </si>
  <si>
    <t>Byte22</t>
  </si>
  <si>
    <t>任务状态</t>
  </si>
  <si>
    <t>空闲/前往取货/取货中/前往卸货/卸货中</t>
  </si>
  <si>
    <t>Byte23</t>
  </si>
  <si>
    <t>Byte24</t>
  </si>
  <si>
    <t>IKEY</t>
  </si>
  <si>
    <t>任务ID</t>
  </si>
  <si>
    <t>Byte25</t>
  </si>
  <si>
    <t>Byte26</t>
  </si>
  <si>
    <t>上料点</t>
  </si>
  <si>
    <t>Byte27</t>
  </si>
  <si>
    <t>Byte28</t>
  </si>
  <si>
    <t>下料点</t>
  </si>
  <si>
    <t>Byte29</t>
  </si>
  <si>
    <t>Byte30</t>
  </si>
  <si>
    <t>AGV小车运行状态第一段文本</t>
  </si>
  <si>
    <t>车载屏幕上显示的状态</t>
  </si>
  <si>
    <t>Byte31</t>
  </si>
  <si>
    <t>Byte32</t>
  </si>
  <si>
    <t>AGV小车运行状态第二段文本</t>
  </si>
  <si>
    <t>Byte33</t>
  </si>
  <si>
    <t>Byte34</t>
  </si>
  <si>
    <t>AGV小车停止信息1</t>
  </si>
  <si>
    <t>Byte35</t>
  </si>
  <si>
    <t>Byte36</t>
  </si>
  <si>
    <t>Byte37</t>
  </si>
  <si>
    <t>Byte38</t>
  </si>
  <si>
    <t>AGV小车停止信息2</t>
  </si>
  <si>
    <t>Byte39</t>
  </si>
  <si>
    <t>Byte40</t>
  </si>
  <si>
    <t>Byte41</t>
  </si>
  <si>
    <t>Byte42</t>
  </si>
  <si>
    <t>AGV小车当前无线信号强度</t>
  </si>
  <si>
    <t>多少是信号好？</t>
  </si>
  <si>
    <t>Byte43</t>
  </si>
  <si>
    <t>Byte44</t>
  </si>
  <si>
    <t>AGV小车运行时间</t>
  </si>
  <si>
    <t>具体定义</t>
  </si>
  <si>
    <t>Byte45</t>
  </si>
  <si>
    <t>Byte46</t>
  </si>
  <si>
    <t>AGV小车通电时间</t>
  </si>
  <si>
    <t>Byte47</t>
  </si>
  <si>
    <t>Byte48</t>
  </si>
  <si>
    <t>AGV小车充电次数</t>
  </si>
  <si>
    <t>Byte49</t>
  </si>
  <si>
    <t>Byte50</t>
  </si>
  <si>
    <t>AGV小车操作模式</t>
  </si>
  <si>
    <t>0=人工叉车  1=AGV</t>
  </si>
  <si>
    <t>Byte51</t>
  </si>
  <si>
    <t>Byte52</t>
  </si>
  <si>
    <t>与Byte20/21重复</t>
  </si>
  <si>
    <t>Byte53</t>
  </si>
  <si>
    <t>Byte54</t>
  </si>
  <si>
    <t>AGV小车行驶距离</t>
  </si>
  <si>
    <t>Byte55</t>
  </si>
  <si>
    <t>Byte56</t>
  </si>
  <si>
    <t>AGV小车转向角度</t>
  </si>
  <si>
    <t>与当前角度(Byte14/15)的区别</t>
  </si>
  <si>
    <t>Byte57</t>
  </si>
  <si>
    <t>Byte58</t>
  </si>
  <si>
    <t>AGV小车运行模式</t>
  </si>
  <si>
    <t>上位机模式/单机模式</t>
  </si>
  <si>
    <t>Byte59</t>
  </si>
  <si>
    <t>Byte60</t>
  </si>
  <si>
    <t>AGV小车当前电流</t>
  </si>
  <si>
    <t>Byte61</t>
  </si>
  <si>
    <t>Byte62</t>
  </si>
  <si>
    <t>AGV小车当前放电电压</t>
  </si>
  <si>
    <t>哪个部件放电</t>
  </si>
  <si>
    <t>Byte63</t>
  </si>
  <si>
    <t>Byte64</t>
  </si>
  <si>
    <t>AGV小车当前充电电压</t>
  </si>
  <si>
    <t>Byte65</t>
  </si>
  <si>
    <t>Byte66</t>
  </si>
  <si>
    <t>AGV小车电池总容量</t>
  </si>
  <si>
    <t>Byte67</t>
  </si>
  <si>
    <t>Byte68</t>
  </si>
  <si>
    <t>AGV小车电池剩余容量</t>
  </si>
  <si>
    <t>Byte69</t>
  </si>
  <si>
    <t>Byte70</t>
  </si>
  <si>
    <t>AGV小车电池温度传感器1当前温度</t>
  </si>
  <si>
    <t>Byte71</t>
  </si>
  <si>
    <t>Byte72</t>
  </si>
  <si>
    <t>AGV小车电池温度传感器2当前温度</t>
  </si>
  <si>
    <t>Byte73</t>
  </si>
  <si>
    <t>Byte74</t>
  </si>
  <si>
    <t>AGV小车电池温度传感器3当前温度</t>
  </si>
  <si>
    <t>Byte75</t>
  </si>
  <si>
    <t>Byte76</t>
  </si>
  <si>
    <t>AGV小车电池温度传感器4当前温度</t>
  </si>
  <si>
    <t>Byte77</t>
  </si>
  <si>
    <t>Byte78</t>
  </si>
  <si>
    <t>AGV小车停止信息3</t>
  </si>
  <si>
    <t>Byte79</t>
  </si>
  <si>
    <t>Byte80</t>
  </si>
  <si>
    <t>Byte81</t>
  </si>
  <si>
    <t>第一段文本</t>
  </si>
  <si>
    <t>第二段文本</t>
  </si>
  <si>
    <t>StatusStringID</t>
  </si>
  <si>
    <t>StatusValue</t>
  </si>
  <si>
    <r>
      <rPr>
        <sz val="12"/>
        <color indexed="14"/>
        <rFont val="宋体"/>
        <charset val="134"/>
      </rPr>
      <t>Pos unknown</t>
    </r>
  </si>
  <si>
    <t>no value</t>
  </si>
  <si>
    <r>
      <rPr>
        <sz val="12"/>
        <color indexed="14"/>
        <rFont val="宋体"/>
        <charset val="134"/>
      </rPr>
      <t>Outside safety zone</t>
    </r>
  </si>
  <si>
    <r>
      <rPr>
        <sz val="12"/>
        <color indexed="14"/>
        <rFont val="宋体"/>
        <charset val="134"/>
      </rPr>
      <t>Cannot enter system</t>
    </r>
  </si>
  <si>
    <r>
      <rPr>
        <sz val="12"/>
        <color indexed="14"/>
        <rFont val="宋体"/>
        <charset val="134"/>
      </rPr>
      <t>Trying to enter sys</t>
    </r>
  </si>
  <si>
    <r>
      <rPr>
        <sz val="12"/>
        <color indexed="14"/>
        <rFont val="宋体"/>
        <charset val="134"/>
      </rPr>
      <t>Inserting to point</t>
    </r>
  </si>
  <si>
    <t>point id</t>
  </si>
  <si>
    <r>
      <rPr>
        <sz val="12"/>
        <color indexed="14"/>
        <rFont val="宋体"/>
        <charset val="134"/>
      </rPr>
      <t>Moving to point</t>
    </r>
  </si>
  <si>
    <r>
      <rPr>
        <sz val="12"/>
        <color indexed="14"/>
        <rFont val="宋体"/>
        <charset val="134"/>
      </rPr>
      <t>Moving to op point</t>
    </r>
  </si>
  <si>
    <r>
      <rPr>
        <sz val="12"/>
        <color indexed="14"/>
        <rFont val="宋体"/>
        <charset val="134"/>
      </rPr>
      <t>Wait for operation</t>
    </r>
  </si>
  <si>
    <r>
      <rPr>
        <sz val="12"/>
        <color indexed="14"/>
        <rFont val="宋体"/>
        <charset val="134"/>
      </rPr>
      <t>Manual mode</t>
    </r>
  </si>
  <si>
    <r>
      <rPr>
        <sz val="12"/>
        <color indexed="14"/>
        <rFont val="宋体"/>
        <charset val="134"/>
      </rPr>
      <t>On point</t>
    </r>
  </si>
  <si>
    <r>
      <rPr>
        <sz val="12"/>
        <color indexed="14"/>
        <rFont val="宋体"/>
        <charset val="134"/>
      </rPr>
      <t>CAN Bus Error</t>
    </r>
  </si>
  <si>
    <r>
      <rPr>
        <sz val="12"/>
        <color indexed="14"/>
        <rFont val="宋体"/>
        <charset val="134"/>
      </rPr>
      <t>Semi mode</t>
    </r>
  </si>
  <si>
    <r>
      <rPr>
        <sz val="12"/>
        <color indexed="14"/>
        <rFont val="宋体"/>
        <charset val="134"/>
      </rPr>
      <t>Fork height</t>
    </r>
  </si>
  <si>
    <t>height value</t>
  </si>
  <si>
    <r>
      <rPr>
        <sz val="12"/>
        <color indexed="14"/>
        <rFont val="宋体"/>
        <charset val="134"/>
      </rPr>
      <t>StopWord #</t>
    </r>
  </si>
  <si>
    <t>bit</t>
  </si>
  <si>
    <r>
      <rPr>
        <sz val="12"/>
        <color indexed="14"/>
        <rFont val="宋体"/>
        <charset val="134"/>
      </rPr>
      <t>FailCode #</t>
    </r>
  </si>
  <si>
    <r>
      <rPr>
        <sz val="12"/>
        <color indexed="14"/>
        <rFont val="宋体"/>
        <charset val="134"/>
      </rPr>
      <t>Moving to stn</t>
    </r>
  </si>
  <si>
    <t>station id</t>
  </si>
  <si>
    <r>
      <rPr>
        <sz val="12"/>
        <color indexed="14"/>
        <rFont val="宋体"/>
        <charset val="134"/>
      </rPr>
      <t>Loading at stn</t>
    </r>
  </si>
  <si>
    <r>
      <rPr>
        <sz val="12"/>
        <color indexed="14"/>
        <rFont val="宋体"/>
        <charset val="134"/>
      </rPr>
      <t>Unloading at stn</t>
    </r>
  </si>
  <si>
    <r>
      <rPr>
        <sz val="12"/>
        <color indexed="14"/>
        <rFont val="宋体"/>
        <charset val="134"/>
      </rPr>
      <t>Blocked by AGV</t>
    </r>
  </si>
  <si>
    <t>agv id</t>
  </si>
  <si>
    <t>数据位</t>
  </si>
  <si>
    <t>十进制</t>
  </si>
  <si>
    <t>故障定义</t>
  </si>
  <si>
    <t>Bit0</t>
  </si>
  <si>
    <t>MX0.0</t>
  </si>
  <si>
    <t>正在等待货叉达到目标高度</t>
  </si>
  <si>
    <t>Bit1</t>
  </si>
  <si>
    <t>MX0.1</t>
  </si>
  <si>
    <t>货叉光电检测到障碍物,请移开障碍物</t>
  </si>
  <si>
    <t>Bit2</t>
  </si>
  <si>
    <t>MX0.2</t>
  </si>
  <si>
    <t>前方扫描仪检测到障碍物,请移开障碍物</t>
  </si>
  <si>
    <t>Bit3</t>
  </si>
  <si>
    <t>MX0.3</t>
  </si>
  <si>
    <t>货叉编码器未同步,请手动下降至零位同步</t>
  </si>
  <si>
    <t>Bit4</t>
  </si>
  <si>
    <t>MX0.4</t>
  </si>
  <si>
    <t>AGV启动延时中,请注意避让</t>
  </si>
  <si>
    <t>Bit5</t>
  </si>
  <si>
    <t>MX0.5</t>
  </si>
  <si>
    <t>柔性段停止</t>
  </si>
  <si>
    <t>Bit6</t>
  </si>
  <si>
    <t>MX0.6</t>
  </si>
  <si>
    <t>停止按钮触发停止,请恢复停止按钮</t>
  </si>
  <si>
    <t>Bit7</t>
  </si>
  <si>
    <t>MX0.7</t>
  </si>
  <si>
    <t>载货状态检测异常,请检查货叉载货弹片</t>
  </si>
  <si>
    <t>Bit8</t>
  </si>
  <si>
    <t>MX1.0</t>
  </si>
  <si>
    <t>安全防撞触边触发,请检查</t>
  </si>
  <si>
    <t>Bit9</t>
  </si>
  <si>
    <t>MX1.1</t>
  </si>
  <si>
    <t>急停通道错误,请检查安全继电器</t>
  </si>
  <si>
    <t>Bit10</t>
  </si>
  <si>
    <t>MX1.2</t>
  </si>
  <si>
    <t>转向编码器未同步,请手动操作转向左或右</t>
  </si>
  <si>
    <t>Bit11</t>
  </si>
  <si>
    <t>MX1.3</t>
  </si>
  <si>
    <t>紧急停止按钮触发停止,请恢复急停按钮并按下复位按钮</t>
  </si>
  <si>
    <t>Bit12</t>
  </si>
  <si>
    <t>MX1.4</t>
  </si>
  <si>
    <t>侧边传感器检测到障碍物,请移开障碍物</t>
  </si>
  <si>
    <t>Bit13</t>
  </si>
  <si>
    <t>MX1.5</t>
  </si>
  <si>
    <t>请求按下复位按钮,请按下复位按钮</t>
  </si>
  <si>
    <t>Bit14</t>
  </si>
  <si>
    <t>MX1.6</t>
  </si>
  <si>
    <t>取卸货操作码错误,请检查操作码是否正确</t>
  </si>
  <si>
    <t>Bit15</t>
  </si>
  <si>
    <t>MX1.7</t>
  </si>
  <si>
    <t>手动模式停止</t>
  </si>
  <si>
    <t>Bit16</t>
  </si>
  <si>
    <t>MX2.0</t>
  </si>
  <si>
    <t>充电模式停止</t>
  </si>
  <si>
    <t>Bit17</t>
  </si>
  <si>
    <t>MX2.1</t>
  </si>
  <si>
    <t>StopClamp</t>
  </si>
  <si>
    <t>Bit18</t>
  </si>
  <si>
    <t>MX2.2</t>
  </si>
  <si>
    <t>接触器故障,请检查接触器是否粘连</t>
  </si>
  <si>
    <t>Bit19</t>
  </si>
  <si>
    <t>MX2.3</t>
  </si>
  <si>
    <t>复位按钮触发停止,请松开复位按钮</t>
  </si>
  <si>
    <t>Bit20</t>
  </si>
  <si>
    <t>MX2.4</t>
  </si>
  <si>
    <t>Bit21</t>
  </si>
  <si>
    <t>MX2.5</t>
  </si>
  <si>
    <t>安全触边检测到障碍物,请移开障碍物</t>
  </si>
  <si>
    <t>Bit22</t>
  </si>
  <si>
    <t>MX2.6</t>
  </si>
  <si>
    <t>AGV超出安全区停止,需要优化车辆参数</t>
  </si>
  <si>
    <t>Bit23</t>
  </si>
  <si>
    <t>MX2.7</t>
  </si>
  <si>
    <t>安全状态停止</t>
  </si>
  <si>
    <t>Bit24</t>
  </si>
  <si>
    <t>MX3.0</t>
  </si>
  <si>
    <t>StopVoice,Stopword</t>
  </si>
  <si>
    <t>Bit25</t>
  </si>
  <si>
    <t>MX3.1</t>
  </si>
  <si>
    <t>StopHalt,Stopword</t>
  </si>
  <si>
    <t>Bit26</t>
  </si>
  <si>
    <t>MX3.2</t>
  </si>
  <si>
    <t>StopLoadDroppedWhileUnloading</t>
  </si>
  <si>
    <t>Bit27</t>
  </si>
  <si>
    <t>MX3.3</t>
  </si>
  <si>
    <t>AGV车轮打滑，请检查车轮</t>
  </si>
  <si>
    <t>Bit28</t>
  </si>
  <si>
    <t>MX3.4</t>
  </si>
  <si>
    <t>在站点停止</t>
  </si>
  <si>
    <t>Bit29</t>
  </si>
  <si>
    <t>MX3.5</t>
  </si>
  <si>
    <t>正在通过自动门,等待中</t>
  </si>
  <si>
    <t>Bit30</t>
  </si>
  <si>
    <t>MX3.6</t>
  </si>
  <si>
    <t>LiftChangeStop</t>
  </si>
  <si>
    <t>Bit31</t>
  </si>
  <si>
    <t>MX3.7</t>
  </si>
  <si>
    <t>Spare32,Stopword</t>
  </si>
  <si>
    <t>MX4.0</t>
  </si>
  <si>
    <t>取货时检测到叉臂已有货物,请检查载货状态</t>
  </si>
  <si>
    <t>MX4.1</t>
  </si>
  <si>
    <t>卸货时未检测到叉臂有货物,请检查载货状态</t>
  </si>
  <si>
    <t>MX4.2</t>
  </si>
  <si>
    <t>货叉故障,请检查货叉动作</t>
  </si>
  <si>
    <t>MX4.3</t>
  </si>
  <si>
    <t>读码失败,需要重新读码</t>
  </si>
  <si>
    <t>MX4.4</t>
  </si>
  <si>
    <t>LS2000检测到障碍物,请移开障碍物</t>
  </si>
  <si>
    <t>MX4.5</t>
  </si>
  <si>
    <t>读码错误,需要重新读码</t>
  </si>
  <si>
    <t>MX4.6</t>
  </si>
  <si>
    <t>货叉正在动作,请等待</t>
  </si>
  <si>
    <t>MX4.7</t>
  </si>
  <si>
    <t>斜扫描仪检测到障碍物,请移开障碍物</t>
  </si>
  <si>
    <t>MX5.0</t>
  </si>
  <si>
    <t>货叉高度反馈错误,请检查货叉高度编码器</t>
  </si>
  <si>
    <t>MX5.1</t>
  </si>
  <si>
    <t>转向编码器电池低电量,请联系人员更换电池</t>
  </si>
  <si>
    <t>MX5.2</t>
  </si>
  <si>
    <t>等待LS2000升降动作,请等待</t>
  </si>
  <si>
    <t>MX5.3</t>
  </si>
  <si>
    <t>MX5.4</t>
  </si>
  <si>
    <t>后方扫描仪检测到障碍物,请移开障碍物</t>
  </si>
  <si>
    <t>MX5.5</t>
  </si>
  <si>
    <t>右侧扫描仪检测到障碍物,请移开障碍物</t>
  </si>
  <si>
    <t>MX5.6</t>
  </si>
  <si>
    <t>左侧扫描仪检测到障碍物,请移开障碍物</t>
  </si>
  <si>
    <t>MX5.7</t>
  </si>
  <si>
    <t>Spare48</t>
  </si>
  <si>
    <t>MX6.0</t>
  </si>
  <si>
    <t>牵引驱动器故障,请检查牵引驱动器</t>
  </si>
  <si>
    <t>MX6.1</t>
  </si>
  <si>
    <t>转向驱动器故障,请检查转向驱动器</t>
  </si>
  <si>
    <t>MX6.2</t>
  </si>
  <si>
    <t>液压驱动器故障,请检查液压驱动器</t>
  </si>
  <si>
    <t>MX6.3</t>
  </si>
  <si>
    <t>Spare52</t>
  </si>
  <si>
    <t>MX6.4</t>
  </si>
  <si>
    <t>MX6.5</t>
  </si>
  <si>
    <t>MX6.6</t>
  </si>
  <si>
    <t>Spare55</t>
  </si>
  <si>
    <t>MX6.7</t>
  </si>
  <si>
    <t>旁路模式触发停止,请关闭旁路模式</t>
  </si>
  <si>
    <t>MX7..0</t>
  </si>
  <si>
    <t>Spare57</t>
  </si>
  <si>
    <t>MX7..1</t>
  </si>
  <si>
    <t>Spare58</t>
  </si>
  <si>
    <t>MX7..2</t>
  </si>
  <si>
    <t>Spare59</t>
  </si>
  <si>
    <t>MX7..7.</t>
  </si>
  <si>
    <t>Spare60</t>
  </si>
  <si>
    <t>MX7..4</t>
  </si>
  <si>
    <t>Spare61</t>
  </si>
  <si>
    <t>MX7..5</t>
  </si>
  <si>
    <t>Spare62</t>
  </si>
  <si>
    <t>MX7..6</t>
  </si>
  <si>
    <t>Spare63</t>
  </si>
  <si>
    <t>MX7..7</t>
  </si>
  <si>
    <t>Spare64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</si>
</sst>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name val="宋体"/>
      <charset val="134"/>
    </font>
    <font>
      <sz val="10"/>
      <name val="Arial"/>
      <charset val="134"/>
    </font>
    <font>
      <sz val="12"/>
      <name val="宋体"/>
      <charset val="134"/>
    </font>
    <font>
      <sz val="12"/>
      <color rgb="FFFF00FF"/>
      <name val="宋体"/>
      <charset val="134"/>
    </font>
    <font>
      <sz val="14"/>
      <color theme="1"/>
      <name val="微软雅黑"/>
      <charset val="134"/>
    </font>
    <font>
      <sz val="11"/>
      <color theme="1"/>
      <name val="微软雅黑"/>
      <charset val="134"/>
    </font>
    <font>
      <b/>
      <sz val="26"/>
      <color theme="1"/>
      <name val="微软雅黑"/>
      <charset val="134"/>
    </font>
    <font>
      <sz val="14"/>
      <color theme="0"/>
      <name val="微软雅黑"/>
      <charset val="134"/>
    </font>
    <font>
      <sz val="11"/>
      <color rgb="FFFF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14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1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21" applyNumberFormat="0" applyAlignment="0" applyProtection="0">
      <alignment vertical="center"/>
    </xf>
    <xf numFmtId="0" fontId="19" fillId="5" borderId="22" applyNumberFormat="0" applyAlignment="0" applyProtection="0">
      <alignment vertical="center"/>
    </xf>
    <xf numFmtId="0" fontId="20" fillId="5" borderId="21" applyNumberFormat="0" applyAlignment="0" applyProtection="0">
      <alignment vertical="center"/>
    </xf>
    <xf numFmtId="0" fontId="21" fillId="6" borderId="23" applyNumberFormat="0" applyAlignment="0" applyProtection="0">
      <alignment vertical="center"/>
    </xf>
    <xf numFmtId="0" fontId="22" fillId="0" borderId="24" applyNumberFormat="0" applyFill="0" applyAlignment="0" applyProtection="0">
      <alignment vertical="center"/>
    </xf>
    <xf numFmtId="0" fontId="23" fillId="0" borderId="25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>
      <alignment vertical="center"/>
    </xf>
    <xf numFmtId="0" fontId="2" fillId="0" borderId="4" xfId="0" applyFont="1" applyBorder="1" applyAlignment="1">
      <alignment horizontal="center" vertical="center" wrapText="1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 applyAlignment="1">
      <alignment horizontal="center" vertical="center"/>
    </xf>
    <xf numFmtId="0" fontId="3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0" fillId="0" borderId="10" xfId="0" applyBorder="1" applyAlignment="1">
      <alignment horizontal="center" vertical="center"/>
    </xf>
    <xf numFmtId="0" fontId="3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>
      <alignment vertical="center"/>
    </xf>
    <xf numFmtId="0" fontId="6" fillId="0" borderId="13" xfId="0" applyFont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14" xfId="0" applyFont="1" applyBorder="1">
      <alignment vertical="center"/>
    </xf>
    <xf numFmtId="0" fontId="8" fillId="0" borderId="0" xfId="0" applyFont="1">
      <alignment vertical="center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2" fillId="0" borderId="9" xfId="0" applyFont="1" applyBorder="1" quotePrefix="1">
      <alignment vertical="center"/>
    </xf>
    <xf numFmtId="0" fontId="2" fillId="0" borderId="12" xfId="0" applyFont="1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4"/>
  <sheetViews>
    <sheetView tabSelected="1" zoomScale="85" zoomScaleNormal="85" topLeftCell="A48" workbookViewId="0">
      <selection activeCell="F14" sqref="F14"/>
    </sheetView>
  </sheetViews>
  <sheetFormatPr defaultColWidth="17.0833333333333" defaultRowHeight="15.6" outlineLevelCol="7"/>
  <cols>
    <col min="1" max="1" width="6.66666666666667" style="16" customWidth="1"/>
    <col min="2" max="2" width="17.0833333333333" style="16"/>
    <col min="3" max="3" width="32.5833333333333" style="17" customWidth="1"/>
    <col min="4" max="4" width="37.6666666666667" style="17" customWidth="1"/>
    <col min="5" max="5" width="17.0833333333333" style="18" customWidth="1"/>
    <col min="6" max="6" width="26.6" style="18" customWidth="1"/>
    <col min="7" max="7" width="6.33333333333333" style="18" customWidth="1"/>
    <col min="8" max="16384" width="17.0833333333333" style="18"/>
  </cols>
  <sheetData>
    <row r="1" ht="36.5" customHeight="1" spans="1:8">
      <c r="B1" s="19" t="s">
        <v>0</v>
      </c>
      <c r="C1" s="19"/>
      <c r="D1" s="19"/>
    </row>
    <row r="2" s="15" customFormat="1" ht="19.2" spans="1:8">
      <c r="A2" s="20"/>
      <c r="B2" s="20" t="s">
        <v>1</v>
      </c>
      <c r="C2" s="20" t="s">
        <v>2</v>
      </c>
      <c r="D2" s="20" t="s">
        <v>3</v>
      </c>
      <c r="E2" s="20" t="s">
        <v>4</v>
      </c>
      <c r="F2" s="20" t="s">
        <v>5</v>
      </c>
      <c r="G2" s="20" t="s">
        <v>6</v>
      </c>
      <c r="H2" s="20" t="s">
        <v>3</v>
      </c>
    </row>
    <row r="3" spans="1:8">
      <c r="A3" s="21">
        <v>1</v>
      </c>
      <c r="B3" s="21" t="s">
        <v>7</v>
      </c>
      <c r="C3" s="21" t="s">
        <v>8</v>
      </c>
      <c r="D3" s="22" t="s">
        <v>9</v>
      </c>
      <c r="E3" s="23" t="s">
        <v>10</v>
      </c>
      <c r="F3" s="23" t="s">
        <v>11</v>
      </c>
      <c r="G3" s="23">
        <v>7890</v>
      </c>
      <c r="H3" s="23" t="s">
        <v>12</v>
      </c>
    </row>
    <row r="4" spans="1:8">
      <c r="A4" s="21">
        <v>2</v>
      </c>
      <c r="B4" s="21" t="s">
        <v>13</v>
      </c>
      <c r="C4" s="21"/>
      <c r="D4" s="22" t="s">
        <v>14</v>
      </c>
      <c r="G4" s="24" t="s">
        <v>15</v>
      </c>
    </row>
    <row r="5" ht="15.65" customHeight="1" spans="1:8">
      <c r="A5" s="21">
        <v>3</v>
      </c>
      <c r="B5" s="21" t="s">
        <v>16</v>
      </c>
      <c r="C5" s="21"/>
      <c r="D5" s="22" t="s">
        <v>17</v>
      </c>
    </row>
    <row r="6" spans="1:8">
      <c r="A6" s="21">
        <v>4</v>
      </c>
      <c r="B6" s="21" t="s">
        <v>18</v>
      </c>
      <c r="C6" s="21"/>
      <c r="D6" s="22" t="s">
        <v>19</v>
      </c>
    </row>
    <row r="7" spans="1:8">
      <c r="A7" s="21">
        <v>5</v>
      </c>
      <c r="B7" s="21" t="s">
        <v>20</v>
      </c>
      <c r="C7" s="22" t="s">
        <v>21</v>
      </c>
      <c r="D7" s="25"/>
    </row>
    <row r="8" spans="1:8">
      <c r="A8" s="21">
        <v>6</v>
      </c>
      <c r="B8" s="21" t="s">
        <v>22</v>
      </c>
      <c r="C8" s="22"/>
      <c r="D8" s="26"/>
    </row>
    <row r="9" spans="1:8">
      <c r="A9" s="21">
        <v>7</v>
      </c>
      <c r="B9" s="21" t="s">
        <v>23</v>
      </c>
      <c r="C9" s="22" t="s">
        <v>24</v>
      </c>
      <c r="D9" s="25"/>
    </row>
    <row r="10" spans="1:8">
      <c r="A10" s="21">
        <v>8</v>
      </c>
      <c r="B10" s="21" t="s">
        <v>25</v>
      </c>
      <c r="C10" s="22"/>
      <c r="D10" s="27"/>
    </row>
    <row r="11" spans="1:8">
      <c r="A11" s="21">
        <v>9</v>
      </c>
      <c r="B11" s="21" t="s">
        <v>26</v>
      </c>
      <c r="C11" s="22"/>
      <c r="D11" s="27"/>
    </row>
    <row r="12" spans="1:8">
      <c r="A12" s="21">
        <v>10</v>
      </c>
      <c r="B12" s="21" t="s">
        <v>27</v>
      </c>
      <c r="C12" s="22"/>
      <c r="D12" s="26"/>
    </row>
    <row r="13" spans="1:8">
      <c r="A13" s="21">
        <v>11</v>
      </c>
      <c r="B13" s="21" t="s">
        <v>28</v>
      </c>
      <c r="C13" s="22" t="s">
        <v>29</v>
      </c>
      <c r="D13" s="25"/>
    </row>
    <row r="14" spans="1:8">
      <c r="A14" s="21">
        <v>12</v>
      </c>
      <c r="B14" s="21" t="s">
        <v>30</v>
      </c>
      <c r="C14" s="22"/>
      <c r="D14" s="27"/>
    </row>
    <row r="15" ht="15.65" customHeight="1" spans="1:8">
      <c r="A15" s="21">
        <v>13</v>
      </c>
      <c r="B15" s="21" t="s">
        <v>31</v>
      </c>
      <c r="C15" s="22"/>
      <c r="D15" s="27"/>
    </row>
    <row r="16" spans="1:8">
      <c r="A16" s="21">
        <v>14</v>
      </c>
      <c r="B16" s="21" t="s">
        <v>32</v>
      </c>
      <c r="C16" s="22"/>
      <c r="D16" s="26"/>
    </row>
    <row r="17" spans="1:4">
      <c r="A17" s="21">
        <v>15</v>
      </c>
      <c r="B17" s="21" t="s">
        <v>33</v>
      </c>
      <c r="C17" s="22" t="s">
        <v>34</v>
      </c>
      <c r="D17" s="25"/>
    </row>
    <row r="18" spans="1:4">
      <c r="A18" s="21">
        <v>16</v>
      </c>
      <c r="B18" s="21" t="s">
        <v>35</v>
      </c>
      <c r="C18" s="22"/>
      <c r="D18" s="26"/>
    </row>
    <row r="19" spans="1:4">
      <c r="A19" s="21">
        <v>17</v>
      </c>
      <c r="B19" s="21" t="s">
        <v>36</v>
      </c>
      <c r="C19" s="22" t="s">
        <v>37</v>
      </c>
      <c r="D19" s="25"/>
    </row>
    <row r="20" spans="1:4">
      <c r="A20" s="21">
        <v>18</v>
      </c>
      <c r="B20" s="21" t="s">
        <v>38</v>
      </c>
      <c r="C20" s="22"/>
      <c r="D20" s="26"/>
    </row>
    <row r="21" spans="1:4">
      <c r="A21" s="21">
        <v>19</v>
      </c>
      <c r="B21" s="21" t="s">
        <v>39</v>
      </c>
      <c r="C21" s="22" t="s">
        <v>40</v>
      </c>
      <c r="D21" s="25"/>
    </row>
    <row r="22" spans="1:4">
      <c r="A22" s="21">
        <v>20</v>
      </c>
      <c r="B22" s="21" t="s">
        <v>41</v>
      </c>
      <c r="C22" s="22"/>
      <c r="D22" s="26"/>
    </row>
    <row r="23" spans="1:4">
      <c r="A23" s="21">
        <v>21</v>
      </c>
      <c r="B23" s="21" t="s">
        <v>42</v>
      </c>
      <c r="C23" s="22" t="s">
        <v>43</v>
      </c>
      <c r="D23" s="25"/>
    </row>
    <row r="24" spans="1:4">
      <c r="A24" s="21">
        <v>22</v>
      </c>
      <c r="B24" s="21" t="s">
        <v>44</v>
      </c>
      <c r="C24" s="22"/>
      <c r="D24" s="26"/>
    </row>
    <row r="25" ht="15.65" customHeight="1" spans="1:4">
      <c r="A25" s="21">
        <v>23</v>
      </c>
      <c r="B25" s="21" t="s">
        <v>45</v>
      </c>
      <c r="C25" s="22" t="s">
        <v>46</v>
      </c>
      <c r="D25" s="25" t="s">
        <v>47</v>
      </c>
    </row>
    <row r="26" ht="15.65" customHeight="1" spans="1:4">
      <c r="A26" s="21">
        <v>24</v>
      </c>
      <c r="B26" s="21" t="s">
        <v>48</v>
      </c>
      <c r="C26" s="22"/>
      <c r="D26" s="26"/>
    </row>
    <row r="27" spans="1:4">
      <c r="A27" s="21">
        <v>25</v>
      </c>
      <c r="B27" s="21" t="s">
        <v>49</v>
      </c>
      <c r="C27" s="22" t="s">
        <v>50</v>
      </c>
      <c r="D27" s="25" t="s">
        <v>51</v>
      </c>
    </row>
    <row r="28" spans="1:4">
      <c r="A28" s="21">
        <v>26</v>
      </c>
      <c r="B28" s="21" t="s">
        <v>52</v>
      </c>
      <c r="C28" s="22"/>
      <c r="D28" s="26"/>
    </row>
    <row r="29" spans="1:4">
      <c r="A29" s="21">
        <v>27</v>
      </c>
      <c r="B29" s="21" t="s">
        <v>53</v>
      </c>
      <c r="C29" s="22" t="s">
        <v>54</v>
      </c>
      <c r="D29" s="25"/>
    </row>
    <row r="30" spans="1:4">
      <c r="A30" s="21">
        <v>28</v>
      </c>
      <c r="B30" s="21" t="s">
        <v>55</v>
      </c>
      <c r="C30" s="22"/>
      <c r="D30" s="26"/>
    </row>
    <row r="31" spans="1:4">
      <c r="A31" s="21">
        <v>29</v>
      </c>
      <c r="B31" s="21" t="s">
        <v>56</v>
      </c>
      <c r="C31" s="22" t="s">
        <v>57</v>
      </c>
      <c r="D31" s="25"/>
    </row>
    <row r="32" spans="1:4">
      <c r="A32" s="21">
        <v>30</v>
      </c>
      <c r="B32" s="21" t="s">
        <v>58</v>
      </c>
      <c r="C32" s="22"/>
      <c r="D32" s="26"/>
    </row>
    <row r="33" spans="1:4">
      <c r="A33" s="21">
        <v>31</v>
      </c>
      <c r="B33" s="21" t="s">
        <v>59</v>
      </c>
      <c r="C33" s="22" t="s">
        <v>60</v>
      </c>
      <c r="D33" s="25" t="s">
        <v>61</v>
      </c>
    </row>
    <row r="34" spans="1:4">
      <c r="A34" s="21">
        <v>32</v>
      </c>
      <c r="B34" s="21" t="s">
        <v>62</v>
      </c>
      <c r="C34" s="22"/>
      <c r="D34" s="27"/>
    </row>
    <row r="35" spans="1:4">
      <c r="A35" s="21">
        <v>33</v>
      </c>
      <c r="B35" s="21" t="s">
        <v>63</v>
      </c>
      <c r="C35" s="22" t="s">
        <v>64</v>
      </c>
      <c r="D35" s="27"/>
    </row>
    <row r="36" spans="1:4">
      <c r="A36" s="21">
        <v>34</v>
      </c>
      <c r="B36" s="21" t="s">
        <v>65</v>
      </c>
      <c r="C36" s="22"/>
      <c r="D36" s="26"/>
    </row>
    <row r="37" spans="1:4">
      <c r="A37" s="21">
        <v>35</v>
      </c>
      <c r="B37" s="21" t="s">
        <v>66</v>
      </c>
      <c r="C37" s="22" t="s">
        <v>67</v>
      </c>
      <c r="D37" s="25"/>
    </row>
    <row r="38" spans="1:4">
      <c r="A38" s="21">
        <v>36</v>
      </c>
      <c r="B38" s="21" t="s">
        <v>68</v>
      </c>
      <c r="C38" s="22"/>
      <c r="D38" s="27"/>
    </row>
    <row r="39" spans="1:4">
      <c r="A39" s="21">
        <v>37</v>
      </c>
      <c r="B39" s="21" t="s">
        <v>69</v>
      </c>
      <c r="C39" s="22"/>
      <c r="D39" s="27"/>
    </row>
    <row r="40" spans="1:4">
      <c r="A40" s="21">
        <v>38</v>
      </c>
      <c r="B40" s="21" t="s">
        <v>70</v>
      </c>
      <c r="C40" s="22"/>
      <c r="D40" s="26"/>
    </row>
    <row r="41" spans="1:4">
      <c r="A41" s="21">
        <v>39</v>
      </c>
      <c r="B41" s="21" t="s">
        <v>71</v>
      </c>
      <c r="C41" s="22" t="s">
        <v>72</v>
      </c>
      <c r="D41" s="25"/>
    </row>
    <row r="42" spans="1:4">
      <c r="A42" s="21">
        <v>40</v>
      </c>
      <c r="B42" s="21" t="s">
        <v>73</v>
      </c>
      <c r="C42" s="22"/>
      <c r="D42" s="27"/>
    </row>
    <row r="43" spans="1:4">
      <c r="A43" s="21">
        <v>41</v>
      </c>
      <c r="B43" s="21" t="s">
        <v>74</v>
      </c>
      <c r="C43" s="22"/>
      <c r="D43" s="27"/>
    </row>
    <row r="44" spans="1:4">
      <c r="A44" s="21">
        <v>42</v>
      </c>
      <c r="B44" s="21" t="s">
        <v>75</v>
      </c>
      <c r="C44" s="22"/>
      <c r="D44" s="26"/>
    </row>
    <row r="45" spans="1:4">
      <c r="A45" s="21">
        <v>43</v>
      </c>
      <c r="B45" s="21" t="s">
        <v>76</v>
      </c>
      <c r="C45" s="22" t="s">
        <v>77</v>
      </c>
      <c r="D45" s="28" t="s">
        <v>78</v>
      </c>
    </row>
    <row r="46" spans="1:4">
      <c r="A46" s="21">
        <v>44</v>
      </c>
      <c r="B46" s="21" t="s">
        <v>79</v>
      </c>
      <c r="C46" s="22"/>
      <c r="D46" s="29"/>
    </row>
    <row r="47" spans="1:4">
      <c r="A47" s="21">
        <v>45</v>
      </c>
      <c r="B47" s="21" t="s">
        <v>80</v>
      </c>
      <c r="C47" s="22" t="s">
        <v>81</v>
      </c>
      <c r="D47" s="28" t="s">
        <v>82</v>
      </c>
    </row>
    <row r="48" spans="1:4">
      <c r="A48" s="21">
        <v>46</v>
      </c>
      <c r="B48" s="21" t="s">
        <v>83</v>
      </c>
      <c r="C48" s="22"/>
      <c r="D48" s="29"/>
    </row>
    <row r="49" spans="1:4">
      <c r="A49" s="21">
        <v>47</v>
      </c>
      <c r="B49" s="21" t="s">
        <v>84</v>
      </c>
      <c r="C49" s="22" t="s">
        <v>85</v>
      </c>
      <c r="D49" s="28" t="s">
        <v>82</v>
      </c>
    </row>
    <row r="50" spans="1:4">
      <c r="A50" s="21">
        <v>48</v>
      </c>
      <c r="B50" s="21" t="s">
        <v>86</v>
      </c>
      <c r="C50" s="22"/>
      <c r="D50" s="29"/>
    </row>
    <row r="51" spans="1:4">
      <c r="A51" s="21">
        <v>49</v>
      </c>
      <c r="B51" s="21" t="s">
        <v>87</v>
      </c>
      <c r="C51" s="22" t="s">
        <v>88</v>
      </c>
      <c r="D51" s="25"/>
    </row>
    <row r="52" spans="1:4">
      <c r="A52" s="21">
        <v>50</v>
      </c>
      <c r="B52" s="21" t="s">
        <v>89</v>
      </c>
      <c r="C52" s="22"/>
      <c r="D52" s="26"/>
    </row>
    <row r="53" spans="1:4">
      <c r="A53" s="21">
        <v>51</v>
      </c>
      <c r="B53" s="21" t="s">
        <v>90</v>
      </c>
      <c r="C53" s="22" t="s">
        <v>91</v>
      </c>
      <c r="D53" s="25" t="s">
        <v>92</v>
      </c>
    </row>
    <row r="54" spans="1:4">
      <c r="A54" s="21">
        <v>52</v>
      </c>
      <c r="B54" s="21" t="s">
        <v>93</v>
      </c>
      <c r="C54" s="22"/>
      <c r="D54" s="26"/>
    </row>
    <row r="55" spans="1:4">
      <c r="A55" s="21">
        <v>53</v>
      </c>
      <c r="B55" s="21" t="s">
        <v>94</v>
      </c>
      <c r="C55" s="22" t="s">
        <v>43</v>
      </c>
      <c r="D55" s="28" t="s">
        <v>95</v>
      </c>
    </row>
    <row r="56" spans="1:4">
      <c r="A56" s="21">
        <v>54</v>
      </c>
      <c r="B56" s="21" t="s">
        <v>96</v>
      </c>
      <c r="C56" s="22"/>
      <c r="D56" s="29"/>
    </row>
    <row r="57" spans="1:4">
      <c r="A57" s="21">
        <v>55</v>
      </c>
      <c r="B57" s="21" t="s">
        <v>97</v>
      </c>
      <c r="C57" s="22" t="s">
        <v>98</v>
      </c>
      <c r="D57" s="25"/>
    </row>
    <row r="58" spans="1:4">
      <c r="A58" s="21">
        <v>56</v>
      </c>
      <c r="B58" s="21" t="s">
        <v>99</v>
      </c>
      <c r="C58" s="22"/>
      <c r="D58" s="26"/>
    </row>
    <row r="59" spans="1:4">
      <c r="A59" s="21">
        <v>57</v>
      </c>
      <c r="B59" s="21" t="s">
        <v>100</v>
      </c>
      <c r="C59" s="22" t="s">
        <v>101</v>
      </c>
      <c r="D59" s="28" t="s">
        <v>102</v>
      </c>
    </row>
    <row r="60" spans="1:4">
      <c r="A60" s="21">
        <v>58</v>
      </c>
      <c r="B60" s="21" t="s">
        <v>103</v>
      </c>
      <c r="C60" s="22"/>
      <c r="D60" s="29"/>
    </row>
    <row r="61" spans="1:4">
      <c r="A61" s="21">
        <v>59</v>
      </c>
      <c r="B61" s="21" t="s">
        <v>104</v>
      </c>
      <c r="C61" s="22" t="s">
        <v>105</v>
      </c>
      <c r="D61" s="25" t="s">
        <v>106</v>
      </c>
    </row>
    <row r="62" spans="1:4">
      <c r="A62" s="21">
        <v>60</v>
      </c>
      <c r="B62" s="21" t="s">
        <v>107</v>
      </c>
      <c r="C62" s="22"/>
      <c r="D62" s="26"/>
    </row>
    <row r="63" spans="1:4">
      <c r="A63" s="21">
        <v>61</v>
      </c>
      <c r="B63" s="21" t="s">
        <v>108</v>
      </c>
      <c r="C63" s="22" t="s">
        <v>109</v>
      </c>
      <c r="D63" s="25"/>
    </row>
    <row r="64" spans="1:4">
      <c r="A64" s="21">
        <v>62</v>
      </c>
      <c r="B64" s="21" t="s">
        <v>110</v>
      </c>
      <c r="C64" s="22"/>
      <c r="D64" s="26"/>
    </row>
    <row r="65" spans="1:4">
      <c r="A65" s="21">
        <v>63</v>
      </c>
      <c r="B65" s="21" t="s">
        <v>111</v>
      </c>
      <c r="C65" s="22" t="s">
        <v>112</v>
      </c>
      <c r="D65" s="28" t="s">
        <v>113</v>
      </c>
    </row>
    <row r="66" spans="1:4">
      <c r="A66" s="21">
        <v>64</v>
      </c>
      <c r="B66" s="21" t="s">
        <v>114</v>
      </c>
      <c r="C66" s="22"/>
      <c r="D66" s="29"/>
    </row>
    <row r="67" spans="1:4">
      <c r="A67" s="21">
        <v>65</v>
      </c>
      <c r="B67" s="21" t="s">
        <v>115</v>
      </c>
      <c r="C67" s="22" t="s">
        <v>116</v>
      </c>
      <c r="D67" s="25"/>
    </row>
    <row r="68" spans="1:4">
      <c r="A68" s="21">
        <v>66</v>
      </c>
      <c r="B68" s="21" t="s">
        <v>117</v>
      </c>
      <c r="C68" s="22"/>
      <c r="D68" s="26"/>
    </row>
    <row r="69" spans="1:4">
      <c r="A69" s="21">
        <v>67</v>
      </c>
      <c r="B69" s="21" t="s">
        <v>118</v>
      </c>
      <c r="C69" s="22" t="s">
        <v>119</v>
      </c>
      <c r="D69" s="25"/>
    </row>
    <row r="70" spans="1:4">
      <c r="A70" s="21">
        <v>68</v>
      </c>
      <c r="B70" s="21" t="s">
        <v>120</v>
      </c>
      <c r="C70" s="22"/>
      <c r="D70" s="26"/>
    </row>
    <row r="71" spans="1:4">
      <c r="A71" s="21">
        <v>69</v>
      </c>
      <c r="B71" s="21" t="s">
        <v>121</v>
      </c>
      <c r="C71" s="22" t="s">
        <v>122</v>
      </c>
      <c r="D71" s="25"/>
    </row>
    <row r="72" spans="1:4">
      <c r="A72" s="21">
        <v>70</v>
      </c>
      <c r="B72" s="21" t="s">
        <v>123</v>
      </c>
      <c r="C72" s="22"/>
      <c r="D72" s="26"/>
    </row>
    <row r="73" spans="1:4">
      <c r="A73" s="21">
        <v>71</v>
      </c>
      <c r="B73" s="21" t="s">
        <v>124</v>
      </c>
      <c r="C73" s="22" t="s">
        <v>125</v>
      </c>
      <c r="D73" s="25"/>
    </row>
    <row r="74" spans="1:4">
      <c r="A74" s="21">
        <v>72</v>
      </c>
      <c r="B74" s="21" t="s">
        <v>126</v>
      </c>
      <c r="C74" s="22"/>
      <c r="D74" s="26"/>
    </row>
    <row r="75" spans="1:4">
      <c r="A75" s="21">
        <v>73</v>
      </c>
      <c r="B75" s="21" t="s">
        <v>127</v>
      </c>
      <c r="C75" s="22" t="s">
        <v>128</v>
      </c>
      <c r="D75" s="25"/>
    </row>
    <row r="76" spans="1:4">
      <c r="A76" s="21">
        <v>74</v>
      </c>
      <c r="B76" s="21" t="s">
        <v>129</v>
      </c>
      <c r="C76" s="22"/>
      <c r="D76" s="26"/>
    </row>
    <row r="77" spans="1:4">
      <c r="A77" s="21">
        <v>75</v>
      </c>
      <c r="B77" s="21" t="s">
        <v>130</v>
      </c>
      <c r="C77" s="22" t="s">
        <v>131</v>
      </c>
      <c r="D77" s="25"/>
    </row>
    <row r="78" spans="1:4">
      <c r="A78" s="21">
        <v>76</v>
      </c>
      <c r="B78" s="21" t="s">
        <v>132</v>
      </c>
      <c r="C78" s="22"/>
      <c r="D78" s="26"/>
    </row>
    <row r="79" spans="1:4">
      <c r="A79" s="21">
        <v>77</v>
      </c>
      <c r="B79" s="21" t="s">
        <v>133</v>
      </c>
      <c r="C79" s="22" t="s">
        <v>134</v>
      </c>
      <c r="D79" s="25"/>
    </row>
    <row r="80" spans="1:4">
      <c r="A80" s="21">
        <v>78</v>
      </c>
      <c r="B80" s="21" t="s">
        <v>135</v>
      </c>
      <c r="C80" s="22"/>
      <c r="D80" s="26"/>
    </row>
    <row r="81" spans="1:4">
      <c r="A81" s="21">
        <v>79</v>
      </c>
      <c r="B81" s="21" t="s">
        <v>136</v>
      </c>
      <c r="C81" s="22" t="s">
        <v>137</v>
      </c>
      <c r="D81" s="25"/>
    </row>
    <row r="82" spans="1:4">
      <c r="A82" s="21">
        <v>80</v>
      </c>
      <c r="B82" s="21" t="s">
        <v>138</v>
      </c>
      <c r="C82" s="22"/>
      <c r="D82" s="27"/>
    </row>
    <row r="83" spans="1:4">
      <c r="A83" s="21">
        <v>81</v>
      </c>
      <c r="B83" s="21" t="s">
        <v>139</v>
      </c>
      <c r="C83" s="22"/>
      <c r="D83" s="27"/>
    </row>
    <row r="84" spans="1:4">
      <c r="A84" s="21">
        <v>82</v>
      </c>
      <c r="B84" s="21" t="s">
        <v>140</v>
      </c>
      <c r="C84" s="22"/>
      <c r="D84" s="26"/>
    </row>
  </sheetData>
  <mergeCells count="69">
    <mergeCell ref="B1:D1"/>
    <mergeCell ref="C3:C6"/>
    <mergeCell ref="C7:C8"/>
    <mergeCell ref="C9:C12"/>
    <mergeCell ref="C13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40"/>
    <mergeCell ref="C41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4"/>
    <mergeCell ref="D7:D8"/>
    <mergeCell ref="D9:D12"/>
    <mergeCell ref="D13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6"/>
    <mergeCell ref="D37:D40"/>
    <mergeCell ref="D41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D65:D66"/>
    <mergeCell ref="D67:D68"/>
    <mergeCell ref="D69:D70"/>
    <mergeCell ref="D71:D72"/>
    <mergeCell ref="D73:D74"/>
    <mergeCell ref="D75:D76"/>
    <mergeCell ref="D77:D78"/>
    <mergeCell ref="D79:D80"/>
    <mergeCell ref="D81:D8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workbookViewId="0">
      <selection activeCell="C24" sqref="C24"/>
    </sheetView>
  </sheetViews>
  <sheetFormatPr defaultColWidth="8.83333333333333" defaultRowHeight="15.6" outlineLevelCol="2"/>
  <cols>
    <col min="1" max="1" width="28.9166666666667" style="2" customWidth="1"/>
    <col min="2" max="2" width="23.1666666666667" customWidth="1"/>
    <col min="3" max="3" width="14.6666666666667" customWidth="1"/>
  </cols>
  <sheetData>
    <row r="1" ht="16.35" spans="1:3">
      <c r="A1" s="3" t="s">
        <v>141</v>
      </c>
      <c r="B1" s="4"/>
      <c r="C1" s="5" t="s">
        <v>142</v>
      </c>
    </row>
    <row r="2" spans="1:3">
      <c r="A2" s="6" t="s">
        <v>143</v>
      </c>
      <c r="B2" s="7"/>
      <c r="C2" s="8" t="s">
        <v>144</v>
      </c>
    </row>
    <row r="3" spans="1:3">
      <c r="A3" s="9">
        <v>4</v>
      </c>
      <c r="B3" s="10" t="s">
        <v>145</v>
      </c>
      <c r="C3" s="30" t="s">
        <v>146</v>
      </c>
    </row>
    <row r="4" spans="1:3">
      <c r="A4" s="9">
        <v>5</v>
      </c>
      <c r="B4" s="10" t="s">
        <v>147</v>
      </c>
      <c r="C4" s="30" t="s">
        <v>146</v>
      </c>
    </row>
    <row r="5" spans="1:3">
      <c r="A5" s="9">
        <v>11</v>
      </c>
      <c r="B5" s="10" t="s">
        <v>148</v>
      </c>
      <c r="C5" s="30" t="s">
        <v>146</v>
      </c>
    </row>
    <row r="6" spans="1:3">
      <c r="A6" s="9">
        <v>12</v>
      </c>
      <c r="B6" s="10" t="s">
        <v>149</v>
      </c>
      <c r="C6" s="30" t="s">
        <v>146</v>
      </c>
    </row>
    <row r="7" spans="1:3">
      <c r="A7" s="9">
        <v>13</v>
      </c>
      <c r="B7" s="10" t="s">
        <v>150</v>
      </c>
      <c r="C7" s="30" t="s">
        <v>151</v>
      </c>
    </row>
    <row r="8" spans="1:3">
      <c r="A8" s="9">
        <v>14</v>
      </c>
      <c r="B8" s="10" t="s">
        <v>152</v>
      </c>
      <c r="C8" s="30" t="s">
        <v>151</v>
      </c>
    </row>
    <row r="9" spans="1:3">
      <c r="A9" s="9">
        <v>15</v>
      </c>
      <c r="B9" s="10" t="s">
        <v>153</v>
      </c>
      <c r="C9" s="30" t="s">
        <v>151</v>
      </c>
    </row>
    <row r="10" spans="1:3">
      <c r="A10" s="9">
        <v>16</v>
      </c>
      <c r="B10" s="10" t="s">
        <v>154</v>
      </c>
      <c r="C10" s="30" t="s">
        <v>146</v>
      </c>
    </row>
    <row r="11" spans="1:3">
      <c r="A11" s="9">
        <v>17</v>
      </c>
      <c r="B11" s="10" t="s">
        <v>155</v>
      </c>
      <c r="C11" s="30" t="s">
        <v>146</v>
      </c>
    </row>
    <row r="12" spans="1:3">
      <c r="A12" s="9">
        <v>18</v>
      </c>
      <c r="B12" s="10" t="s">
        <v>156</v>
      </c>
      <c r="C12" s="30" t="s">
        <v>151</v>
      </c>
    </row>
    <row r="13" spans="1:3">
      <c r="A13" s="9">
        <v>20</v>
      </c>
      <c r="B13" s="10" t="s">
        <v>148</v>
      </c>
      <c r="C13" s="30" t="s">
        <v>146</v>
      </c>
    </row>
    <row r="14" spans="1:3">
      <c r="A14" s="9">
        <v>21</v>
      </c>
      <c r="B14" s="10" t="s">
        <v>157</v>
      </c>
      <c r="C14" s="30" t="s">
        <v>146</v>
      </c>
    </row>
    <row r="15" spans="1:3">
      <c r="A15" s="9">
        <v>22</v>
      </c>
      <c r="B15" s="10" t="s">
        <v>158</v>
      </c>
      <c r="C15" s="30" t="s">
        <v>146</v>
      </c>
    </row>
    <row r="16" spans="1:3">
      <c r="A16" s="9">
        <v>42</v>
      </c>
      <c r="B16" s="10" t="s">
        <v>159</v>
      </c>
      <c r="C16" s="30" t="s">
        <v>160</v>
      </c>
    </row>
    <row r="17" spans="1:3">
      <c r="A17" s="9">
        <v>48</v>
      </c>
      <c r="B17" s="10" t="s">
        <v>161</v>
      </c>
      <c r="C17" s="30" t="s">
        <v>162</v>
      </c>
    </row>
    <row r="18" spans="1:3">
      <c r="A18" s="9">
        <v>49</v>
      </c>
      <c r="B18" s="10" t="s">
        <v>163</v>
      </c>
      <c r="C18" s="30" t="s">
        <v>162</v>
      </c>
    </row>
    <row r="19" spans="1:3">
      <c r="A19" s="9">
        <v>50</v>
      </c>
      <c r="B19" s="10" t="s">
        <v>164</v>
      </c>
      <c r="C19" s="30" t="s">
        <v>165</v>
      </c>
    </row>
    <row r="20" spans="1:3">
      <c r="A20" s="9">
        <v>51</v>
      </c>
      <c r="B20" s="10" t="s">
        <v>166</v>
      </c>
      <c r="C20" s="30" t="s">
        <v>165</v>
      </c>
    </row>
    <row r="21" spans="1:3">
      <c r="A21" s="9">
        <v>52</v>
      </c>
      <c r="B21" s="10" t="s">
        <v>167</v>
      </c>
      <c r="C21" s="30" t="s">
        <v>165</v>
      </c>
    </row>
    <row r="22" spans="1:3">
      <c r="A22" s="9">
        <v>67</v>
      </c>
      <c r="B22" s="10" t="s">
        <v>168</v>
      </c>
      <c r="C22" s="30" t="s">
        <v>169</v>
      </c>
    </row>
    <row r="23" ht="16.35" spans="1:3">
      <c r="A23" s="12">
        <v>75</v>
      </c>
      <c r="B23" s="13" t="s">
        <v>168</v>
      </c>
      <c r="C23" s="31" t="s">
        <v>169</v>
      </c>
    </row>
  </sheetData>
  <mergeCells count="1">
    <mergeCell ref="A1:B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B15" sqref="B15"/>
    </sheetView>
  </sheetViews>
  <sheetFormatPr defaultColWidth="8.83333333333333" defaultRowHeight="15.6" outlineLevelCol="3"/>
  <cols>
    <col min="3" max="3" width="14.3333333333333" customWidth="1"/>
    <col min="4" max="4" width="31.5" customWidth="1"/>
  </cols>
  <sheetData>
    <row r="1" spans="1:4">
      <c r="A1" t="s">
        <v>170</v>
      </c>
      <c r="B1" t="s">
        <v>1</v>
      </c>
      <c r="C1" t="s">
        <v>171</v>
      </c>
      <c r="D1" t="s">
        <v>172</v>
      </c>
    </row>
    <row r="2" spans="1:4">
      <c r="A2" t="s">
        <v>173</v>
      </c>
      <c r="B2" t="s">
        <v>174</v>
      </c>
      <c r="C2">
        <v>1</v>
      </c>
      <c r="D2" s="1" t="s">
        <v>175</v>
      </c>
    </row>
    <row r="3" spans="1:4">
      <c r="A3" t="s">
        <v>176</v>
      </c>
      <c r="B3" t="s">
        <v>177</v>
      </c>
      <c r="C3">
        <v>2</v>
      </c>
      <c r="D3" s="1" t="s">
        <v>178</v>
      </c>
    </row>
    <row r="4" spans="1:4">
      <c r="A4" t="s">
        <v>179</v>
      </c>
      <c r="B4" t="s">
        <v>180</v>
      </c>
      <c r="C4">
        <v>4</v>
      </c>
      <c r="D4" s="1" t="s">
        <v>181</v>
      </c>
    </row>
    <row r="5" spans="1:4">
      <c r="A5" t="s">
        <v>182</v>
      </c>
      <c r="B5" t="s">
        <v>183</v>
      </c>
      <c r="C5">
        <v>8</v>
      </c>
      <c r="D5" s="1" t="s">
        <v>184</v>
      </c>
    </row>
    <row r="6" spans="1:4">
      <c r="A6" t="s">
        <v>185</v>
      </c>
      <c r="B6" t="s">
        <v>186</v>
      </c>
      <c r="C6">
        <v>16</v>
      </c>
      <c r="D6" s="1" t="s">
        <v>187</v>
      </c>
    </row>
    <row r="7" spans="1:4">
      <c r="A7" t="s">
        <v>188</v>
      </c>
      <c r="B7" t="s">
        <v>189</v>
      </c>
      <c r="C7">
        <v>32</v>
      </c>
      <c r="D7" s="1" t="s">
        <v>190</v>
      </c>
    </row>
    <row r="8" spans="1:4">
      <c r="A8" t="s">
        <v>191</v>
      </c>
      <c r="B8" t="s">
        <v>192</v>
      </c>
      <c r="C8">
        <v>64</v>
      </c>
      <c r="D8" s="1" t="s">
        <v>193</v>
      </c>
    </row>
    <row r="9" spans="1:4">
      <c r="A9" t="s">
        <v>194</v>
      </c>
      <c r="B9" t="s">
        <v>195</v>
      </c>
      <c r="C9">
        <v>128</v>
      </c>
      <c r="D9" s="1" t="s">
        <v>196</v>
      </c>
    </row>
    <row r="10" spans="1:4">
      <c r="A10" t="s">
        <v>197</v>
      </c>
      <c r="B10" t="s">
        <v>198</v>
      </c>
      <c r="C10">
        <v>256</v>
      </c>
      <c r="D10" s="1" t="s">
        <v>199</v>
      </c>
    </row>
    <row r="11" spans="1:4">
      <c r="A11" t="s">
        <v>200</v>
      </c>
      <c r="B11" t="s">
        <v>201</v>
      </c>
      <c r="C11">
        <f t="shared" ref="C11:C33" si="0">C10*2</f>
        <v>512</v>
      </c>
      <c r="D11" s="1" t="s">
        <v>202</v>
      </c>
    </row>
    <row r="12" spans="1:4">
      <c r="A12" t="s">
        <v>203</v>
      </c>
      <c r="B12" t="s">
        <v>204</v>
      </c>
      <c r="C12">
        <f t="shared" si="0"/>
        <v>1024</v>
      </c>
      <c r="D12" s="1" t="s">
        <v>205</v>
      </c>
    </row>
    <row r="13" spans="1:4">
      <c r="A13" t="s">
        <v>206</v>
      </c>
      <c r="B13" t="s">
        <v>207</v>
      </c>
      <c r="C13">
        <f t="shared" si="0"/>
        <v>2048</v>
      </c>
      <c r="D13" s="1" t="s">
        <v>208</v>
      </c>
    </row>
    <row r="14" spans="1:4">
      <c r="A14" t="s">
        <v>209</v>
      </c>
      <c r="B14" t="s">
        <v>210</v>
      </c>
      <c r="C14">
        <f t="shared" si="0"/>
        <v>4096</v>
      </c>
      <c r="D14" s="1" t="s">
        <v>211</v>
      </c>
    </row>
    <row r="15" spans="1:4">
      <c r="A15" t="s">
        <v>212</v>
      </c>
      <c r="B15" t="s">
        <v>213</v>
      </c>
      <c r="C15">
        <f t="shared" si="0"/>
        <v>8192</v>
      </c>
      <c r="D15" s="1" t="s">
        <v>214</v>
      </c>
    </row>
    <row r="16" spans="1:4">
      <c r="A16" t="s">
        <v>215</v>
      </c>
      <c r="B16" t="s">
        <v>216</v>
      </c>
      <c r="C16">
        <f t="shared" si="0"/>
        <v>16384</v>
      </c>
      <c r="D16" s="1" t="s">
        <v>217</v>
      </c>
    </row>
    <row r="17" spans="1:4">
      <c r="A17" t="s">
        <v>218</v>
      </c>
      <c r="B17" t="s">
        <v>219</v>
      </c>
      <c r="C17">
        <f t="shared" si="0"/>
        <v>32768</v>
      </c>
      <c r="D17" s="1" t="s">
        <v>220</v>
      </c>
    </row>
    <row r="18" spans="1:4">
      <c r="A18" t="s">
        <v>221</v>
      </c>
      <c r="B18" t="s">
        <v>222</v>
      </c>
      <c r="C18">
        <f t="shared" si="0"/>
        <v>65536</v>
      </c>
      <c r="D18" s="1" t="s">
        <v>223</v>
      </c>
    </row>
    <row r="19" spans="1:4">
      <c r="A19" t="s">
        <v>224</v>
      </c>
      <c r="B19" t="s">
        <v>225</v>
      </c>
      <c r="C19">
        <f t="shared" si="0"/>
        <v>131072</v>
      </c>
      <c r="D19" s="1" t="s">
        <v>226</v>
      </c>
    </row>
    <row r="20" spans="1:4">
      <c r="A20" t="s">
        <v>227</v>
      </c>
      <c r="B20" t="s">
        <v>228</v>
      </c>
      <c r="C20">
        <f t="shared" si="0"/>
        <v>262144</v>
      </c>
      <c r="D20" s="1" t="s">
        <v>229</v>
      </c>
    </row>
    <row r="21" spans="1:4">
      <c r="A21" t="s">
        <v>230</v>
      </c>
      <c r="B21" t="s">
        <v>231</v>
      </c>
      <c r="C21">
        <f t="shared" si="0"/>
        <v>524288</v>
      </c>
      <c r="D21" s="1" t="s">
        <v>232</v>
      </c>
    </row>
    <row r="22" spans="1:4">
      <c r="A22" t="s">
        <v>233</v>
      </c>
      <c r="B22" t="s">
        <v>234</v>
      </c>
      <c r="C22">
        <f t="shared" si="0"/>
        <v>1048576</v>
      </c>
      <c r="D22" s="1" t="s">
        <v>217</v>
      </c>
    </row>
    <row r="23" spans="1:4">
      <c r="A23" t="s">
        <v>235</v>
      </c>
      <c r="B23" t="s">
        <v>236</v>
      </c>
      <c r="C23">
        <f t="shared" si="0"/>
        <v>2097152</v>
      </c>
      <c r="D23" s="1" t="s">
        <v>237</v>
      </c>
    </row>
    <row r="24" spans="1:4">
      <c r="A24" t="s">
        <v>238</v>
      </c>
      <c r="B24" t="s">
        <v>239</v>
      </c>
      <c r="C24">
        <f t="shared" si="0"/>
        <v>4194304</v>
      </c>
      <c r="D24" s="1" t="s">
        <v>240</v>
      </c>
    </row>
    <row r="25" spans="1:4">
      <c r="A25" t="s">
        <v>241</v>
      </c>
      <c r="B25" t="s">
        <v>242</v>
      </c>
      <c r="C25">
        <f t="shared" si="0"/>
        <v>8388608</v>
      </c>
      <c r="D25" s="1" t="s">
        <v>243</v>
      </c>
    </row>
    <row r="26" spans="1:4">
      <c r="A26" t="s">
        <v>244</v>
      </c>
      <c r="B26" t="s">
        <v>245</v>
      </c>
      <c r="C26">
        <f t="shared" si="0"/>
        <v>16777216</v>
      </c>
      <c r="D26" s="1" t="s">
        <v>246</v>
      </c>
    </row>
    <row r="27" spans="1:4">
      <c r="A27" t="s">
        <v>247</v>
      </c>
      <c r="B27" t="s">
        <v>248</v>
      </c>
      <c r="C27">
        <f t="shared" si="0"/>
        <v>33554432</v>
      </c>
      <c r="D27" s="1" t="s">
        <v>249</v>
      </c>
    </row>
    <row r="28" spans="1:4">
      <c r="A28" t="s">
        <v>250</v>
      </c>
      <c r="B28" t="s">
        <v>251</v>
      </c>
      <c r="C28">
        <f t="shared" si="0"/>
        <v>67108864</v>
      </c>
      <c r="D28" s="1" t="s">
        <v>252</v>
      </c>
    </row>
    <row r="29" spans="1:4">
      <c r="A29" t="s">
        <v>253</v>
      </c>
      <c r="B29" t="s">
        <v>254</v>
      </c>
      <c r="C29">
        <f t="shared" si="0"/>
        <v>134217728</v>
      </c>
      <c r="D29" s="1" t="s">
        <v>255</v>
      </c>
    </row>
    <row r="30" spans="1:4">
      <c r="A30" t="s">
        <v>256</v>
      </c>
      <c r="B30" t="s">
        <v>257</v>
      </c>
      <c r="C30">
        <f t="shared" si="0"/>
        <v>268435456</v>
      </c>
      <c r="D30" s="1" t="s">
        <v>258</v>
      </c>
    </row>
    <row r="31" spans="1:4">
      <c r="A31" t="s">
        <v>259</v>
      </c>
      <c r="B31" t="s">
        <v>260</v>
      </c>
      <c r="C31">
        <f t="shared" si="0"/>
        <v>536870912</v>
      </c>
      <c r="D31" s="1" t="s">
        <v>261</v>
      </c>
    </row>
    <row r="32" spans="1:4">
      <c r="A32" t="s">
        <v>262</v>
      </c>
      <c r="B32" t="s">
        <v>263</v>
      </c>
      <c r="C32">
        <f t="shared" si="0"/>
        <v>1073741824</v>
      </c>
      <c r="D32" s="1" t="s">
        <v>264</v>
      </c>
    </row>
    <row r="33" spans="1:4">
      <c r="A33" t="s">
        <v>265</v>
      </c>
      <c r="B33" t="s">
        <v>266</v>
      </c>
      <c r="C33">
        <f t="shared" si="0"/>
        <v>2147483648</v>
      </c>
      <c r="D33" s="1" t="s">
        <v>267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D33" sqref="D33"/>
    </sheetView>
  </sheetViews>
  <sheetFormatPr defaultColWidth="8.83333333333333" defaultRowHeight="15.6" outlineLevelCol="3"/>
  <cols>
    <col min="3" max="3" width="14.3333333333333" customWidth="1"/>
    <col min="4" max="4" width="39.5833333333333" customWidth="1"/>
  </cols>
  <sheetData>
    <row r="1" spans="1:4">
      <c r="A1" t="s">
        <v>170</v>
      </c>
      <c r="B1" t="s">
        <v>1</v>
      </c>
      <c r="C1" t="s">
        <v>171</v>
      </c>
      <c r="D1" t="s">
        <v>172</v>
      </c>
    </row>
    <row r="2" spans="1:4">
      <c r="A2" t="s">
        <v>173</v>
      </c>
      <c r="B2" t="s">
        <v>268</v>
      </c>
      <c r="C2">
        <v>1</v>
      </c>
      <c r="D2" s="1" t="s">
        <v>269</v>
      </c>
    </row>
    <row r="3" spans="1:4">
      <c r="A3" t="s">
        <v>176</v>
      </c>
      <c r="B3" t="s">
        <v>270</v>
      </c>
      <c r="C3">
        <v>2</v>
      </c>
      <c r="D3" s="1" t="s">
        <v>271</v>
      </c>
    </row>
    <row r="4" spans="1:4">
      <c r="A4" t="s">
        <v>179</v>
      </c>
      <c r="B4" t="s">
        <v>272</v>
      </c>
      <c r="C4">
        <v>4</v>
      </c>
      <c r="D4" s="1" t="s">
        <v>273</v>
      </c>
    </row>
    <row r="5" spans="1:4">
      <c r="A5" t="s">
        <v>182</v>
      </c>
      <c r="B5" t="s">
        <v>274</v>
      </c>
      <c r="C5">
        <v>8</v>
      </c>
      <c r="D5" s="1" t="s">
        <v>275</v>
      </c>
    </row>
    <row r="6" spans="1:4">
      <c r="A6" t="s">
        <v>185</v>
      </c>
      <c r="B6" t="s">
        <v>276</v>
      </c>
      <c r="C6">
        <v>16</v>
      </c>
      <c r="D6" s="1" t="s">
        <v>277</v>
      </c>
    </row>
    <row r="7" spans="1:4">
      <c r="A7" t="s">
        <v>188</v>
      </c>
      <c r="B7" t="s">
        <v>278</v>
      </c>
      <c r="C7">
        <v>32</v>
      </c>
      <c r="D7" s="1" t="s">
        <v>279</v>
      </c>
    </row>
    <row r="8" spans="1:4">
      <c r="A8" t="s">
        <v>191</v>
      </c>
      <c r="B8" t="s">
        <v>280</v>
      </c>
      <c r="C8">
        <v>64</v>
      </c>
      <c r="D8" s="1" t="s">
        <v>281</v>
      </c>
    </row>
    <row r="9" spans="1:4">
      <c r="A9" t="s">
        <v>194</v>
      </c>
      <c r="B9" t="s">
        <v>282</v>
      </c>
      <c r="C9">
        <v>128</v>
      </c>
      <c r="D9" s="1" t="s">
        <v>283</v>
      </c>
    </row>
    <row r="10" spans="1:4">
      <c r="A10" t="s">
        <v>197</v>
      </c>
      <c r="B10" t="s">
        <v>284</v>
      </c>
      <c r="C10">
        <v>256</v>
      </c>
      <c r="D10" s="1" t="s">
        <v>285</v>
      </c>
    </row>
    <row r="11" spans="1:4">
      <c r="A11" t="s">
        <v>200</v>
      </c>
      <c r="B11" t="s">
        <v>286</v>
      </c>
      <c r="C11">
        <f t="shared" ref="C11:C33" si="0">C10*2</f>
        <v>512</v>
      </c>
      <c r="D11" s="1" t="s">
        <v>287</v>
      </c>
    </row>
    <row r="12" spans="1:4">
      <c r="A12" t="s">
        <v>203</v>
      </c>
      <c r="B12" t="s">
        <v>288</v>
      </c>
      <c r="C12">
        <f t="shared" si="0"/>
        <v>1024</v>
      </c>
      <c r="D12" s="1" t="s">
        <v>289</v>
      </c>
    </row>
    <row r="13" spans="1:4">
      <c r="A13" t="s">
        <v>206</v>
      </c>
      <c r="B13" t="s">
        <v>290</v>
      </c>
      <c r="C13">
        <f t="shared" si="0"/>
        <v>2048</v>
      </c>
      <c r="D13" s="1" t="s">
        <v>283</v>
      </c>
    </row>
    <row r="14" spans="1:4">
      <c r="A14" t="s">
        <v>209</v>
      </c>
      <c r="B14" t="s">
        <v>291</v>
      </c>
      <c r="C14">
        <f t="shared" si="0"/>
        <v>4096</v>
      </c>
      <c r="D14" s="1" t="s">
        <v>292</v>
      </c>
    </row>
    <row r="15" spans="1:4">
      <c r="A15" t="s">
        <v>212</v>
      </c>
      <c r="B15" t="s">
        <v>293</v>
      </c>
      <c r="C15">
        <f t="shared" si="0"/>
        <v>8192</v>
      </c>
      <c r="D15" s="1" t="s">
        <v>294</v>
      </c>
    </row>
    <row r="16" spans="1:4">
      <c r="A16" t="s">
        <v>215</v>
      </c>
      <c r="B16" t="s">
        <v>295</v>
      </c>
      <c r="C16">
        <f t="shared" si="0"/>
        <v>16384</v>
      </c>
      <c r="D16" s="1" t="s">
        <v>296</v>
      </c>
    </row>
    <row r="17" spans="1:4">
      <c r="A17" t="s">
        <v>218</v>
      </c>
      <c r="B17" t="s">
        <v>297</v>
      </c>
      <c r="C17">
        <f t="shared" si="0"/>
        <v>32768</v>
      </c>
      <c r="D17" s="1" t="s">
        <v>298</v>
      </c>
    </row>
    <row r="18" spans="1:4">
      <c r="A18" t="s">
        <v>221</v>
      </c>
      <c r="B18" t="s">
        <v>299</v>
      </c>
      <c r="C18">
        <f t="shared" si="0"/>
        <v>65536</v>
      </c>
      <c r="D18" s="1" t="s">
        <v>300</v>
      </c>
    </row>
    <row r="19" spans="1:4">
      <c r="A19" t="s">
        <v>224</v>
      </c>
      <c r="B19" t="s">
        <v>301</v>
      </c>
      <c r="C19">
        <f t="shared" si="0"/>
        <v>131072</v>
      </c>
      <c r="D19" s="1" t="s">
        <v>302</v>
      </c>
    </row>
    <row r="20" spans="1:4">
      <c r="A20" t="s">
        <v>227</v>
      </c>
      <c r="B20" t="s">
        <v>303</v>
      </c>
      <c r="C20">
        <f t="shared" si="0"/>
        <v>262144</v>
      </c>
      <c r="D20" s="1" t="s">
        <v>304</v>
      </c>
    </row>
    <row r="21" spans="1:4">
      <c r="A21" t="s">
        <v>230</v>
      </c>
      <c r="B21" t="s">
        <v>305</v>
      </c>
      <c r="C21">
        <f t="shared" si="0"/>
        <v>524288</v>
      </c>
      <c r="D21" s="1" t="s">
        <v>306</v>
      </c>
    </row>
    <row r="22" spans="1:4">
      <c r="A22" t="s">
        <v>233</v>
      </c>
      <c r="B22" t="s">
        <v>307</v>
      </c>
      <c r="C22">
        <f t="shared" si="0"/>
        <v>1048576</v>
      </c>
      <c r="D22" s="1" t="s">
        <v>296</v>
      </c>
    </row>
    <row r="23" spans="1:4">
      <c r="A23" t="s">
        <v>235</v>
      </c>
      <c r="B23" t="s">
        <v>308</v>
      </c>
      <c r="C23">
        <f t="shared" si="0"/>
        <v>2097152</v>
      </c>
      <c r="D23" s="1" t="s">
        <v>294</v>
      </c>
    </row>
    <row r="24" spans="1:4">
      <c r="A24" t="s">
        <v>238</v>
      </c>
      <c r="B24" t="s">
        <v>309</v>
      </c>
      <c r="C24">
        <f t="shared" si="0"/>
        <v>4194304</v>
      </c>
      <c r="D24" s="1" t="s">
        <v>310</v>
      </c>
    </row>
    <row r="25" spans="1:4">
      <c r="A25" t="s">
        <v>241</v>
      </c>
      <c r="B25" t="s">
        <v>311</v>
      </c>
      <c r="C25">
        <f t="shared" si="0"/>
        <v>8388608</v>
      </c>
      <c r="D25" s="1" t="s">
        <v>312</v>
      </c>
    </row>
    <row r="26" spans="1:4">
      <c r="A26" t="s">
        <v>244</v>
      </c>
      <c r="B26" t="s">
        <v>313</v>
      </c>
      <c r="C26">
        <f t="shared" si="0"/>
        <v>16777216</v>
      </c>
      <c r="D26" s="1" t="s">
        <v>314</v>
      </c>
    </row>
    <row r="27" spans="1:4">
      <c r="A27" t="s">
        <v>247</v>
      </c>
      <c r="B27" t="s">
        <v>315</v>
      </c>
      <c r="C27">
        <f t="shared" si="0"/>
        <v>33554432</v>
      </c>
      <c r="D27" s="1" t="s">
        <v>316</v>
      </c>
    </row>
    <row r="28" spans="1:4">
      <c r="A28" t="s">
        <v>250</v>
      </c>
      <c r="B28" t="s">
        <v>317</v>
      </c>
      <c r="C28">
        <f t="shared" si="0"/>
        <v>67108864</v>
      </c>
      <c r="D28" s="1" t="s">
        <v>318</v>
      </c>
    </row>
    <row r="29" spans="1:4">
      <c r="A29" t="s">
        <v>253</v>
      </c>
      <c r="B29" t="s">
        <v>319</v>
      </c>
      <c r="C29">
        <f t="shared" si="0"/>
        <v>134217728</v>
      </c>
      <c r="D29" s="1" t="s">
        <v>320</v>
      </c>
    </row>
    <row r="30" spans="1:4">
      <c r="A30" t="s">
        <v>256</v>
      </c>
      <c r="B30" t="s">
        <v>321</v>
      </c>
      <c r="C30">
        <f t="shared" si="0"/>
        <v>268435456</v>
      </c>
      <c r="D30" s="1" t="s">
        <v>322</v>
      </c>
    </row>
    <row r="31" spans="1:4">
      <c r="A31" t="s">
        <v>259</v>
      </c>
      <c r="B31" t="s">
        <v>323</v>
      </c>
      <c r="C31">
        <f t="shared" si="0"/>
        <v>536870912</v>
      </c>
      <c r="D31" s="1" t="s">
        <v>324</v>
      </c>
    </row>
    <row r="32" spans="1:4">
      <c r="A32" t="s">
        <v>262</v>
      </c>
      <c r="B32" t="s">
        <v>325</v>
      </c>
      <c r="C32">
        <f t="shared" si="0"/>
        <v>1073741824</v>
      </c>
      <c r="D32" s="1" t="s">
        <v>326</v>
      </c>
    </row>
    <row r="33" spans="1:4">
      <c r="A33" t="s">
        <v>265</v>
      </c>
      <c r="B33" t="s">
        <v>327</v>
      </c>
      <c r="C33">
        <f t="shared" si="0"/>
        <v>2147483648</v>
      </c>
      <c r="D33" s="1" t="s">
        <v>328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RCS-AGV系统</vt:lpstr>
      <vt:lpstr>AGV小车运行状态</vt:lpstr>
      <vt:lpstr>AGV小车停止信息1</vt:lpstr>
      <vt:lpstr>AGV小车停止信息2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ZYL</dc:creator>
  <cp:lastModifiedBy>梁杰俊</cp:lastModifiedBy>
  <dcterms:created xsi:type="dcterms:W3CDTF">2023-03-15T02:35:00Z</dcterms:created>
  <dcterms:modified xsi:type="dcterms:W3CDTF">2026-03-13T01:51:24Z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EFF4E646B90D48C295BCB288CC131196_13</vt:lpwstr>
  </property>
  <property fmtid="{D5CDD505-2E9C-101B-9397-08002B2CF9AE}" pid="4" name="CalculationRule">
    <vt:i4>0</vt:i4>
  </property>
</Properties>
</file>